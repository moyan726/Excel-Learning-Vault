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桌面文件\xlookup\"/>
    </mc:Choice>
  </mc:AlternateContent>
  <xr:revisionPtr revIDLastSave="0" documentId="13_ncr:1_{D42F709F-C4FE-4274-9224-5E77281EEDAE}" xr6:coauthVersionLast="47" xr6:coauthVersionMax="47" xr10:uidLastSave="{00000000-0000-0000-0000-000000000000}"/>
  <bookViews>
    <workbookView xWindow="0" yWindow="36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0" i="1" l="1"/>
  <c r="B77" i="1"/>
  <c r="C72" i="1" a="1"/>
  <c r="C72" i="1" s="1"/>
  <c r="G32" i="1" a="1"/>
  <c r="G32" i="1" s="1"/>
  <c r="B47" i="1"/>
  <c r="B24" i="1"/>
  <c r="E3" i="1"/>
  <c r="B67" i="1"/>
  <c r="B58" i="1" a="1"/>
  <c r="B58" i="1" s="1"/>
  <c r="B53" i="1" a="1"/>
  <c r="B5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<sst xmlns="http://schemas.openxmlformats.org/spreadsheetml/2006/main" count="149" uniqueCount="54">
  <si>
    <t>姓名</t>
  </si>
  <si>
    <t>销售额</t>
  </si>
  <si>
    <t>小张</t>
  </si>
  <si>
    <t>小李</t>
  </si>
  <si>
    <t>小王</t>
  </si>
  <si>
    <t>小吴</t>
  </si>
  <si>
    <t>小陈</t>
  </si>
  <si>
    <t>小沈</t>
  </si>
  <si>
    <t>小蒋</t>
  </si>
  <si>
    <t>小苏</t>
  </si>
  <si>
    <t>小郑</t>
  </si>
  <si>
    <t>小金</t>
  </si>
  <si>
    <t>小马</t>
  </si>
  <si>
    <t>小杨</t>
  </si>
  <si>
    <t>案例一：竖向查找</t>
    <phoneticPr fontId="1" type="noConversion"/>
  </si>
  <si>
    <t>案例二：横向查找</t>
    <phoneticPr fontId="1" type="noConversion"/>
  </si>
  <si>
    <t>部门</t>
  </si>
  <si>
    <t>工号</t>
  </si>
  <si>
    <t>销售一部</t>
  </si>
  <si>
    <t>A001</t>
  </si>
  <si>
    <t>A002</t>
  </si>
  <si>
    <t>A003</t>
  </si>
  <si>
    <t>销售二部</t>
  </si>
  <si>
    <t>A004</t>
  </si>
  <si>
    <t>A005</t>
  </si>
  <si>
    <t>A006</t>
  </si>
  <si>
    <t>A007</t>
  </si>
  <si>
    <t>A008</t>
  </si>
  <si>
    <t>销售三部</t>
  </si>
  <si>
    <t>A009</t>
  </si>
  <si>
    <t>A010</t>
  </si>
  <si>
    <t>A011</t>
  </si>
  <si>
    <t>A012</t>
  </si>
  <si>
    <t>案例三：反向查找</t>
  </si>
  <si>
    <t>案例四 整行查找</t>
    <phoneticPr fontId="1" type="noConversion"/>
  </si>
  <si>
    <t>工号</t>
    <phoneticPr fontId="1" type="noConversion"/>
  </si>
  <si>
    <t>姓名</t>
    <phoneticPr fontId="1" type="noConversion"/>
  </si>
  <si>
    <t>销售额</t>
    <phoneticPr fontId="1" type="noConversion"/>
  </si>
  <si>
    <t>A004</t>
    <phoneticPr fontId="1" type="noConversion"/>
  </si>
  <si>
    <t>案例五 整列查找</t>
    <phoneticPr fontId="1" type="noConversion"/>
  </si>
  <si>
    <t>案例6 指定错误值</t>
    <phoneticPr fontId="1" type="noConversion"/>
  </si>
  <si>
    <t>小111</t>
    <phoneticPr fontId="1" type="noConversion"/>
  </si>
  <si>
    <t>案例七 多条件查找</t>
    <phoneticPr fontId="1" type="noConversion"/>
  </si>
  <si>
    <t>产品</t>
  </si>
  <si>
    <t>产品</t>
    <phoneticPr fontId="1" type="noConversion"/>
  </si>
  <si>
    <t>水果</t>
  </si>
  <si>
    <t>健身器械</t>
  </si>
  <si>
    <t>保健品</t>
  </si>
  <si>
    <t>小陈</t>
    <phoneticPr fontId="1" type="noConversion"/>
  </si>
  <si>
    <t>健身器械</t>
    <phoneticPr fontId="1" type="noConversion"/>
  </si>
  <si>
    <t>案例八、倒序查找</t>
  </si>
  <si>
    <t>小张</t>
    <phoneticPr fontId="1" type="noConversion"/>
  </si>
  <si>
    <t>提成比例</t>
  </si>
  <si>
    <t>案例九：匹配模式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</si>
</sst>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9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/>
    <xf numFmtId="9" fontId="0" fillId="0" borderId="1" xfId="0" applyNumberForma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1"/>
  <sheetViews>
    <sheetView tabSelected="1" topLeftCell="A86" zoomScale="130" zoomScaleNormal="130" workbookViewId="0">
      <selection activeCell="E90" sqref="E90"/>
    </sheetView>
  </sheetViews>
  <sheetFormatPr defaultRowHeight="14" x14ac:dyDescent="0.3"/>
  <cols>
    <col min="1" max="1" width="16.9140625" bestFit="1" customWidth="1"/>
    <col min="2" max="2" width="8.5" bestFit="1" customWidth="1"/>
    <col min="3" max="3" width="8.9140625" customWidth="1"/>
    <col min="4" max="4" width="16.33203125" bestFit="1" customWidth="1"/>
    <col min="5" max="5" width="8.83203125" customWidth="1"/>
    <col min="6" max="6" width="16.25" bestFit="1" customWidth="1"/>
    <col min="7" max="7" width="11.83203125" customWidth="1"/>
    <col min="8" max="8" width="10.33203125" customWidth="1"/>
    <col min="9" max="13" width="4.83203125" bestFit="1" customWidth="1"/>
  </cols>
  <sheetData>
    <row r="1" spans="1:5" ht="14.5" thickBot="1" x14ac:dyDescent="0.35">
      <c r="A1" s="2" t="s">
        <v>0</v>
      </c>
      <c r="B1" s="2" t="s">
        <v>1</v>
      </c>
      <c r="D1" t="s">
        <v>14</v>
      </c>
    </row>
    <row r="2" spans="1:5" ht="28.5" thickBot="1" x14ac:dyDescent="0.35">
      <c r="A2" s="1" t="s">
        <v>2</v>
      </c>
      <c r="B2" s="1">
        <v>100</v>
      </c>
      <c r="D2" s="2" t="s">
        <v>0</v>
      </c>
      <c r="E2" s="2" t="s">
        <v>1</v>
      </c>
    </row>
    <row r="3" spans="1:5" ht="14.5" thickBot="1" x14ac:dyDescent="0.35">
      <c r="A3" s="1" t="s">
        <v>3</v>
      </c>
      <c r="B3" s="1">
        <v>130</v>
      </c>
      <c r="D3" s="1" t="s">
        <v>6</v>
      </c>
      <c r="E3">
        <f>_xlfn.XLOOKUP(D3,A2:A13,B2:B13)</f>
        <v>60</v>
      </c>
    </row>
    <row r="4" spans="1:5" ht="14.5" thickBot="1" x14ac:dyDescent="0.35">
      <c r="A4" s="1" t="s">
        <v>4</v>
      </c>
      <c r="B4" s="1">
        <v>200</v>
      </c>
    </row>
    <row r="5" spans="1:5" ht="14.5" thickBot="1" x14ac:dyDescent="0.35">
      <c r="A5" s="1" t="s">
        <v>5</v>
      </c>
      <c r="B5" s="1">
        <v>120</v>
      </c>
    </row>
    <row r="6" spans="1:5" ht="14.5" thickBot="1" x14ac:dyDescent="0.35">
      <c r="A6" s="1" t="s">
        <v>6</v>
      </c>
      <c r="B6" s="1">
        <v>60</v>
      </c>
    </row>
    <row r="7" spans="1:5" ht="14.5" thickBot="1" x14ac:dyDescent="0.35">
      <c r="A7" s="1" t="s">
        <v>7</v>
      </c>
      <c r="B7" s="1">
        <v>50</v>
      </c>
    </row>
    <row r="8" spans="1:5" ht="14.5" thickBot="1" x14ac:dyDescent="0.35">
      <c r="A8" s="1" t="s">
        <v>8</v>
      </c>
      <c r="B8" s="1">
        <v>300</v>
      </c>
    </row>
    <row r="9" spans="1:5" ht="14.5" thickBot="1" x14ac:dyDescent="0.35">
      <c r="A9" s="1" t="s">
        <v>9</v>
      </c>
      <c r="B9" s="1">
        <v>160</v>
      </c>
    </row>
    <row r="10" spans="1:5" ht="14.5" thickBot="1" x14ac:dyDescent="0.35">
      <c r="A10" s="1" t="s">
        <v>10</v>
      </c>
      <c r="B10" s="1">
        <v>80</v>
      </c>
    </row>
    <row r="11" spans="1:5" ht="14.5" thickBot="1" x14ac:dyDescent="0.35">
      <c r="A11" s="1" t="s">
        <v>11</v>
      </c>
      <c r="B11" s="1">
        <v>140</v>
      </c>
    </row>
    <row r="12" spans="1:5" ht="14.5" thickBot="1" x14ac:dyDescent="0.35">
      <c r="A12" s="1" t="s">
        <v>12</v>
      </c>
      <c r="B12" s="1">
        <v>260</v>
      </c>
    </row>
    <row r="13" spans="1:5" ht="14.5" thickBot="1" x14ac:dyDescent="0.35">
      <c r="A13" s="1" t="s">
        <v>13</v>
      </c>
      <c r="B13" s="1">
        <v>210</v>
      </c>
    </row>
    <row r="18" spans="1:13" ht="14.5" thickBot="1" x14ac:dyDescent="0.35"/>
    <row r="19" spans="1:13" ht="14.5" thickBot="1" x14ac:dyDescent="0.35">
      <c r="A19" s="2" t="s">
        <v>0</v>
      </c>
      <c r="B19" s="1" t="s">
        <v>2</v>
      </c>
      <c r="C19" s="1" t="s">
        <v>3</v>
      </c>
      <c r="D19" s="1" t="s">
        <v>4</v>
      </c>
      <c r="E19" s="1" t="s">
        <v>5</v>
      </c>
      <c r="F19" s="1" t="s">
        <v>6</v>
      </c>
      <c r="G19" s="1" t="s">
        <v>7</v>
      </c>
      <c r="H19" s="1" t="s">
        <v>8</v>
      </c>
      <c r="I19" s="1" t="s">
        <v>9</v>
      </c>
      <c r="J19" s="1" t="s">
        <v>10</v>
      </c>
      <c r="K19" s="1" t="s">
        <v>11</v>
      </c>
      <c r="L19" s="1" t="s">
        <v>12</v>
      </c>
      <c r="M19" s="1" t="s">
        <v>13</v>
      </c>
    </row>
    <row r="20" spans="1:13" ht="14.5" thickBot="1" x14ac:dyDescent="0.35">
      <c r="A20" s="2" t="s">
        <v>1</v>
      </c>
      <c r="B20" s="1">
        <v>100</v>
      </c>
      <c r="C20" s="1">
        <v>130</v>
      </c>
      <c r="D20" s="1">
        <v>200</v>
      </c>
      <c r="E20" s="1">
        <v>120</v>
      </c>
      <c r="F20" s="1">
        <v>60</v>
      </c>
      <c r="G20" s="1">
        <v>50</v>
      </c>
      <c r="H20" s="1">
        <v>300</v>
      </c>
      <c r="I20" s="1">
        <v>160</v>
      </c>
      <c r="J20" s="1">
        <v>80</v>
      </c>
      <c r="K20" s="1">
        <v>140</v>
      </c>
      <c r="L20" s="1">
        <v>260</v>
      </c>
      <c r="M20" s="1">
        <v>210</v>
      </c>
    </row>
    <row r="22" spans="1:13" ht="14.5" thickBot="1" x14ac:dyDescent="0.35">
      <c r="A22" t="s">
        <v>15</v>
      </c>
    </row>
    <row r="23" spans="1:13" ht="14.5" thickBot="1" x14ac:dyDescent="0.35">
      <c r="A23" s="2" t="s">
        <v>0</v>
      </c>
      <c r="B23" s="2" t="s">
        <v>1</v>
      </c>
    </row>
    <row r="24" spans="1:13" ht="14.5" thickBot="1" x14ac:dyDescent="0.35">
      <c r="A24" s="1" t="s">
        <v>6</v>
      </c>
      <c r="B24">
        <f>_xlfn.XLOOKUP(A24,B19:M19,B20:M20)</f>
        <v>60</v>
      </c>
    </row>
    <row r="29" spans="1:13" ht="14.5" thickBot="1" x14ac:dyDescent="0.35"/>
    <row r="30" spans="1:13" ht="14.5" thickBot="1" x14ac:dyDescent="0.35">
      <c r="A30" s="3" t="s">
        <v>16</v>
      </c>
      <c r="B30" s="3" t="s">
        <v>17</v>
      </c>
      <c r="C30" s="3" t="s">
        <v>0</v>
      </c>
      <c r="D30" s="3" t="s">
        <v>1</v>
      </c>
      <c r="F30" s="4" t="s">
        <v>40</v>
      </c>
    </row>
    <row r="31" spans="1:13" ht="14.5" thickBot="1" x14ac:dyDescent="0.35">
      <c r="A31" s="1" t="s">
        <v>18</v>
      </c>
      <c r="B31" s="1" t="s">
        <v>19</v>
      </c>
      <c r="C31" s="1" t="s">
        <v>2</v>
      </c>
      <c r="D31" s="1">
        <v>100</v>
      </c>
      <c r="F31" s="4" t="s">
        <v>36</v>
      </c>
      <c r="G31" t="s">
        <v>37</v>
      </c>
    </row>
    <row r="32" spans="1:13" ht="14.5" thickBot="1" x14ac:dyDescent="0.35">
      <c r="A32" s="1" t="s">
        <v>18</v>
      </c>
      <c r="B32" s="1" t="s">
        <v>20</v>
      </c>
      <c r="C32" s="1" t="s">
        <v>3</v>
      </c>
      <c r="D32" s="1">
        <v>130</v>
      </c>
      <c r="F32" s="4" t="s">
        <v>41</v>
      </c>
      <c r="G32" t="e" cm="1">
        <f t="array" ref="G32">_xlfn.XLOOKUP(F32,C31:C42,D31:A70D42,"未找到")</f>
        <v>#NAME?</v>
      </c>
    </row>
    <row r="33" spans="1:6" ht="14.5" thickBot="1" x14ac:dyDescent="0.35">
      <c r="A33" s="1" t="s">
        <v>18</v>
      </c>
      <c r="B33" s="1" t="s">
        <v>21</v>
      </c>
      <c r="C33" s="1" t="s">
        <v>4</v>
      </c>
      <c r="D33" s="1">
        <v>200</v>
      </c>
      <c r="F33" s="1"/>
    </row>
    <row r="34" spans="1:6" ht="14.5" thickBot="1" x14ac:dyDescent="0.35">
      <c r="A34" s="1" t="s">
        <v>22</v>
      </c>
      <c r="B34" s="1" t="s">
        <v>23</v>
      </c>
      <c r="C34" s="1" t="s">
        <v>5</v>
      </c>
      <c r="D34" s="1">
        <v>120</v>
      </c>
      <c r="F34" s="1"/>
    </row>
    <row r="35" spans="1:6" ht="14.5" thickBot="1" x14ac:dyDescent="0.35">
      <c r="A35" s="1" t="s">
        <v>22</v>
      </c>
      <c r="B35" s="1" t="s">
        <v>24</v>
      </c>
      <c r="C35" s="1" t="s">
        <v>6</v>
      </c>
      <c r="D35" s="1">
        <v>60</v>
      </c>
      <c r="F35" s="1"/>
    </row>
    <row r="36" spans="1:6" ht="14.5" thickBot="1" x14ac:dyDescent="0.35">
      <c r="A36" s="1" t="s">
        <v>22</v>
      </c>
      <c r="B36" s="1" t="s">
        <v>25</v>
      </c>
      <c r="C36" s="1" t="s">
        <v>7</v>
      </c>
      <c r="D36" s="1">
        <v>50</v>
      </c>
      <c r="F36" s="1"/>
    </row>
    <row r="37" spans="1:6" ht="14.5" thickBot="1" x14ac:dyDescent="0.35">
      <c r="A37" s="1" t="s">
        <v>22</v>
      </c>
      <c r="B37" s="1" t="s">
        <v>26</v>
      </c>
      <c r="C37" s="1" t="s">
        <v>8</v>
      </c>
      <c r="D37" s="1">
        <v>300</v>
      </c>
      <c r="F37" s="1"/>
    </row>
    <row r="38" spans="1:6" ht="14.5" thickBot="1" x14ac:dyDescent="0.35">
      <c r="A38" s="1" t="s">
        <v>22</v>
      </c>
      <c r="B38" s="1" t="s">
        <v>27</v>
      </c>
      <c r="C38" s="1" t="s">
        <v>9</v>
      </c>
      <c r="D38" s="1">
        <v>160</v>
      </c>
    </row>
    <row r="39" spans="1:6" ht="14.5" thickBot="1" x14ac:dyDescent="0.35">
      <c r="A39" s="1" t="s">
        <v>28</v>
      </c>
      <c r="B39" s="1" t="s">
        <v>29</v>
      </c>
      <c r="C39" s="1" t="s">
        <v>10</v>
      </c>
      <c r="D39" s="1">
        <v>80</v>
      </c>
    </row>
    <row r="40" spans="1:6" ht="14.5" thickBot="1" x14ac:dyDescent="0.35">
      <c r="A40" s="1" t="s">
        <v>28</v>
      </c>
      <c r="B40" s="1" t="s">
        <v>30</v>
      </c>
      <c r="C40" s="1" t="s">
        <v>11</v>
      </c>
      <c r="D40" s="1">
        <v>140</v>
      </c>
    </row>
    <row r="41" spans="1:6" ht="14.5" thickBot="1" x14ac:dyDescent="0.35">
      <c r="A41" s="1" t="s">
        <v>28</v>
      </c>
      <c r="B41" s="1" t="s">
        <v>31</v>
      </c>
      <c r="C41" s="1" t="s">
        <v>12</v>
      </c>
      <c r="D41" s="1">
        <v>260</v>
      </c>
    </row>
    <row r="42" spans="1:6" ht="14.5" thickBot="1" x14ac:dyDescent="0.35">
      <c r="A42" s="1" t="s">
        <v>28</v>
      </c>
      <c r="B42" s="1" t="s">
        <v>32</v>
      </c>
      <c r="C42" s="1" t="s">
        <v>13</v>
      </c>
      <c r="D42" s="1">
        <v>210</v>
      </c>
    </row>
    <row r="44" spans="1:6" ht="14.5" thickBot="1" x14ac:dyDescent="0.35"/>
    <row r="45" spans="1:6" ht="14.5" thickBot="1" x14ac:dyDescent="0.35">
      <c r="A45" s="3" t="s">
        <v>33</v>
      </c>
      <c r="B45" s="3"/>
    </row>
    <row r="46" spans="1:6" ht="14.5" thickBot="1" x14ac:dyDescent="0.35">
      <c r="A46" s="1" t="s">
        <v>0</v>
      </c>
      <c r="B46" s="1" t="s">
        <v>17</v>
      </c>
    </row>
    <row r="47" spans="1:6" ht="14.5" thickBot="1" x14ac:dyDescent="0.35">
      <c r="A47" s="1" t="s">
        <v>4</v>
      </c>
      <c r="B47" s="1" t="str">
        <f>_xlfn.XLOOKUP(A47,C31:C42,B31:B42)</f>
        <v>A003</v>
      </c>
    </row>
    <row r="51" spans="1:3" x14ac:dyDescent="0.3">
      <c r="A51" t="s">
        <v>34</v>
      </c>
    </row>
    <row r="52" spans="1:3" x14ac:dyDescent="0.3">
      <c r="A52" t="s">
        <v>35</v>
      </c>
      <c r="B52" t="s">
        <v>36</v>
      </c>
      <c r="C52" t="s">
        <v>37</v>
      </c>
    </row>
    <row r="53" spans="1:3" x14ac:dyDescent="0.3">
      <c r="A53" t="s">
        <v>38</v>
      </c>
      <c r="B53" t="str" cm="1">
        <f t="array" ref="B53:C53">_xlfn.XLOOKUP(A53,B31:B42,C31:D42)</f>
        <v>小吴</v>
      </c>
      <c r="C53">
        <v>120</v>
      </c>
    </row>
    <row r="56" spans="1:3" x14ac:dyDescent="0.3">
      <c r="A56" t="s">
        <v>39</v>
      </c>
    </row>
    <row r="57" spans="1:3" ht="14.5" thickBot="1" x14ac:dyDescent="0.35">
      <c r="A57" t="s">
        <v>36</v>
      </c>
      <c r="B57" t="s">
        <v>37</v>
      </c>
    </row>
    <row r="58" spans="1:3" ht="14.5" thickBot="1" x14ac:dyDescent="0.35">
      <c r="A58" s="1" t="s">
        <v>2</v>
      </c>
      <c r="B58" cm="1">
        <f t="array" ref="B58:B62">_xlfn.XLOOKUP(A58:A62,C31:C42,D31:D42)</f>
        <v>100</v>
      </c>
    </row>
    <row r="59" spans="1:3" ht="14.5" thickBot="1" x14ac:dyDescent="0.35">
      <c r="A59" s="1" t="s">
        <v>3</v>
      </c>
      <c r="B59">
        <v>130</v>
      </c>
    </row>
    <row r="60" spans="1:3" ht="14.5" thickBot="1" x14ac:dyDescent="0.35">
      <c r="A60" s="1" t="s">
        <v>8</v>
      </c>
      <c r="B60">
        <v>300</v>
      </c>
    </row>
    <row r="61" spans="1:3" ht="14.5" thickBot="1" x14ac:dyDescent="0.35">
      <c r="A61" s="1" t="s">
        <v>9</v>
      </c>
      <c r="B61">
        <v>160</v>
      </c>
    </row>
    <row r="62" spans="1:3" ht="14.5" thickBot="1" x14ac:dyDescent="0.35">
      <c r="A62" s="1" t="s">
        <v>12</v>
      </c>
      <c r="B62">
        <v>260</v>
      </c>
    </row>
    <row r="65" spans="1:8" x14ac:dyDescent="0.3">
      <c r="A65" s="4" t="s">
        <v>40</v>
      </c>
    </row>
    <row r="66" spans="1:8" x14ac:dyDescent="0.3">
      <c r="A66" s="4" t="s">
        <v>36</v>
      </c>
      <c r="B66" t="s">
        <v>37</v>
      </c>
    </row>
    <row r="67" spans="1:8" x14ac:dyDescent="0.3">
      <c r="A67" s="4" t="s">
        <v>41</v>
      </c>
      <c r="B67" t="str">
        <f>_xlfn.XLOOKUP(A67,C31:C42,D31:D42,"未找到")</f>
        <v>未找到</v>
      </c>
    </row>
    <row r="68" spans="1:8" ht="14.5" thickBot="1" x14ac:dyDescent="0.35"/>
    <row r="69" spans="1:8" ht="14.5" thickBot="1" x14ac:dyDescent="0.35">
      <c r="F69" s="3" t="s">
        <v>0</v>
      </c>
      <c r="G69" s="3" t="s">
        <v>43</v>
      </c>
      <c r="H69" s="3" t="s">
        <v>1</v>
      </c>
    </row>
    <row r="70" spans="1:8" ht="14.5" thickBot="1" x14ac:dyDescent="0.35">
      <c r="A70" s="7" t="s">
        <v>42</v>
      </c>
      <c r="F70" s="1" t="s">
        <v>2</v>
      </c>
      <c r="G70" s="1" t="s">
        <v>45</v>
      </c>
      <c r="H70" s="1">
        <v>310</v>
      </c>
    </row>
    <row r="71" spans="1:8" ht="14.5" thickBot="1" x14ac:dyDescent="0.35">
      <c r="A71" s="4" t="s">
        <v>36</v>
      </c>
      <c r="B71" t="s">
        <v>44</v>
      </c>
      <c r="C71" t="s">
        <v>37</v>
      </c>
      <c r="F71" s="1" t="s">
        <v>3</v>
      </c>
      <c r="G71" s="1" t="s">
        <v>45</v>
      </c>
      <c r="H71" s="1">
        <v>500</v>
      </c>
    </row>
    <row r="72" spans="1:8" ht="14.5" thickBot="1" x14ac:dyDescent="0.35">
      <c r="A72" s="4" t="s">
        <v>48</v>
      </c>
      <c r="B72" t="s">
        <v>49</v>
      </c>
      <c r="C72" cm="1">
        <f t="array" ref="C72">_xlfn.XLOOKUP(A72&amp;B72,F70:F84&amp;G70:G84,H70:H84)</f>
        <v>140</v>
      </c>
      <c r="F72" s="1" t="s">
        <v>9</v>
      </c>
      <c r="G72" s="1" t="s">
        <v>45</v>
      </c>
      <c r="H72" s="1">
        <v>210</v>
      </c>
    </row>
    <row r="73" spans="1:8" ht="14.5" thickBot="1" x14ac:dyDescent="0.35">
      <c r="F73" s="1" t="s">
        <v>5</v>
      </c>
      <c r="G73" s="1" t="s">
        <v>45</v>
      </c>
      <c r="H73" s="1">
        <v>120</v>
      </c>
    </row>
    <row r="74" spans="1:8" ht="14.5" thickBot="1" x14ac:dyDescent="0.35">
      <c r="F74" s="1" t="s">
        <v>6</v>
      </c>
      <c r="G74" s="1" t="s">
        <v>45</v>
      </c>
      <c r="H74" s="1">
        <v>60</v>
      </c>
    </row>
    <row r="75" spans="1:8" ht="14.5" thickBot="1" x14ac:dyDescent="0.35">
      <c r="A75" s="5" t="s">
        <v>50</v>
      </c>
      <c r="F75" s="1" t="s">
        <v>2</v>
      </c>
      <c r="G75" s="1" t="s">
        <v>46</v>
      </c>
      <c r="H75" s="1">
        <v>50</v>
      </c>
    </row>
    <row r="76" spans="1:8" ht="14.5" thickBot="1" x14ac:dyDescent="0.35">
      <c r="A76" t="s">
        <v>36</v>
      </c>
      <c r="B76" t="s">
        <v>37</v>
      </c>
      <c r="F76" s="1" t="s">
        <v>3</v>
      </c>
      <c r="G76" s="1" t="s">
        <v>46</v>
      </c>
      <c r="H76" s="1">
        <v>300</v>
      </c>
    </row>
    <row r="77" spans="1:8" ht="14.5" thickBot="1" x14ac:dyDescent="0.35">
      <c r="A77" t="s">
        <v>51</v>
      </c>
      <c r="B77">
        <f>_xlfn.XLOOKUP(A77,F70:F84,H70:H84,,,-1)</f>
        <v>260</v>
      </c>
      <c r="F77" s="1" t="s">
        <v>9</v>
      </c>
      <c r="G77" s="1" t="s">
        <v>46</v>
      </c>
      <c r="H77" s="1">
        <v>160</v>
      </c>
    </row>
    <row r="78" spans="1:8" ht="14.5" thickBot="1" x14ac:dyDescent="0.35">
      <c r="F78" s="1" t="s">
        <v>5</v>
      </c>
      <c r="G78" s="1" t="s">
        <v>46</v>
      </c>
      <c r="H78" s="1">
        <v>80</v>
      </c>
    </row>
    <row r="79" spans="1:8" ht="14.5" thickBot="1" x14ac:dyDescent="0.35">
      <c r="F79" s="1" t="s">
        <v>6</v>
      </c>
      <c r="G79" s="1" t="s">
        <v>46</v>
      </c>
      <c r="H79" s="1">
        <v>140</v>
      </c>
    </row>
    <row r="80" spans="1:8" ht="14.5" thickBot="1" x14ac:dyDescent="0.35">
      <c r="F80" s="1" t="s">
        <v>2</v>
      </c>
      <c r="G80" s="1" t="s">
        <v>47</v>
      </c>
      <c r="H80" s="1">
        <v>260</v>
      </c>
    </row>
    <row r="81" spans="1:8" ht="14.5" thickBot="1" x14ac:dyDescent="0.35">
      <c r="F81" s="1" t="s">
        <v>3</v>
      </c>
      <c r="G81" s="1" t="s">
        <v>47</v>
      </c>
      <c r="H81" s="1">
        <v>210</v>
      </c>
    </row>
    <row r="82" spans="1:8" ht="14.5" thickBot="1" x14ac:dyDescent="0.35">
      <c r="F82" s="1" t="s">
        <v>9</v>
      </c>
      <c r="G82" s="1" t="s">
        <v>47</v>
      </c>
      <c r="H82" s="1">
        <v>130</v>
      </c>
    </row>
    <row r="83" spans="1:8" ht="14.5" thickBot="1" x14ac:dyDescent="0.35">
      <c r="F83" s="1" t="s">
        <v>5</v>
      </c>
      <c r="G83" s="1" t="s">
        <v>47</v>
      </c>
      <c r="H83" s="1">
        <v>320</v>
      </c>
    </row>
    <row r="84" spans="1:8" ht="14.5" thickBot="1" x14ac:dyDescent="0.35">
      <c r="F84" s="1" t="s">
        <v>6</v>
      </c>
      <c r="G84" s="1" t="s">
        <v>47</v>
      </c>
      <c r="H84" s="1">
        <v>240</v>
      </c>
    </row>
    <row r="86" spans="1:8" ht="14.5" thickBot="1" x14ac:dyDescent="0.35"/>
    <row r="87" spans="1:8" ht="14.5" thickBot="1" x14ac:dyDescent="0.35">
      <c r="A87" s="3" t="s">
        <v>1</v>
      </c>
      <c r="B87" s="3" t="s">
        <v>52</v>
      </c>
    </row>
    <row r="88" spans="1:8" ht="42.5" thickBot="1" x14ac:dyDescent="0.35">
      <c r="A88" s="1">
        <v>50</v>
      </c>
      <c r="B88" s="6">
        <v>0.01</v>
      </c>
      <c r="D88" s="3" t="s">
        <v>53</v>
      </c>
      <c r="E88" s="3"/>
    </row>
    <row r="89" spans="1:8" ht="14.5" thickBot="1" x14ac:dyDescent="0.35">
      <c r="A89" s="1">
        <v>100</v>
      </c>
      <c r="B89" s="6">
        <v>0.02</v>
      </c>
      <c r="D89" s="1" t="s">
        <v>1</v>
      </c>
      <c r="E89" s="1" t="s">
        <v>52</v>
      </c>
    </row>
    <row r="90" spans="1:8" ht="14.5" thickBot="1" x14ac:dyDescent="0.35">
      <c r="A90" s="1">
        <v>200</v>
      </c>
      <c r="B90" s="6">
        <v>0.03</v>
      </c>
      <c r="D90" s="1">
        <v>310</v>
      </c>
      <c r="E90" s="6">
        <f>_xlfn.XLOOKUP(D90,A88:A91,B88:B91,,-1)</f>
        <v>0.03</v>
      </c>
    </row>
    <row r="91" spans="1:8" ht="14.5" thickBot="1" x14ac:dyDescent="0.35">
      <c r="A91" s="1">
        <v>400</v>
      </c>
      <c r="B91" s="6">
        <v>0.04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佳兴 闫</cp:lastModifiedBy>
  <dcterms:created xsi:type="dcterms:W3CDTF">2015-06-05T18:19:34Z</dcterms:created>
  <dcterms:modified xsi:type="dcterms:W3CDTF">2026-03-16T04:00:02Z</dcterms:modified>
</cp:coreProperties>
</file>